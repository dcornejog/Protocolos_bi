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roTransaccionalidad" sheetId="1" r:id="rId5"/>
    <sheet state="visible" name="TableroClienteAltoValor" sheetId="2" r:id="rId6"/>
  </sheets>
  <definedNames/>
  <calcPr/>
</workbook>
</file>

<file path=xl/sharedStrings.xml><?xml version="1.0" encoding="utf-8"?>
<sst xmlns="http://schemas.openxmlformats.org/spreadsheetml/2006/main" count="288" uniqueCount="123">
  <si>
    <t>HABITUALIDAD TRANSACCIONAL</t>
  </si>
  <si>
    <t>AVANCE</t>
  </si>
  <si>
    <t>FASE 0: REQUERIMIENTO</t>
  </si>
  <si>
    <t>FASE 1: ARRANQUE Y ALINEACIÓN</t>
  </si>
  <si>
    <t>FASE 2: ACCESOS, GOBIERNO Y SEGURIDAD</t>
  </si>
  <si>
    <t>FASE 3: MODELO LÓGICO Y DICCIONARIO</t>
  </si>
  <si>
    <t>FASE 4: INGENIERIA DE DATOS</t>
  </si>
  <si>
    <t>FASE 5: CALIDAD DE DATOS Y VALIDACION</t>
  </si>
  <si>
    <t>FASE 6: DISEÑO Y MOCKUP</t>
  </si>
  <si>
    <t>FASE 7: MODELO EN POWER BI DESKTOP RS</t>
  </si>
  <si>
    <t>FASE 8: CONSTRUCCIÓN DEL REPORTE</t>
  </si>
  <si>
    <t>FASE 9: SEGURIDAD Y PRIVACIDAD</t>
  </si>
  <si>
    <t>FASE 10: UAT (PRUEBAS CON NEGOCIO)</t>
  </si>
  <si>
    <t>FASE 11: HALLAZGOS (INCIDENCIAS)</t>
  </si>
  <si>
    <t>FASE 12: DESPLIEGUE EN PBIRS Y OPERACIÓN</t>
  </si>
  <si>
    <t>FASE 13: DOCUMENTACIÓN Y CIERRE DEL MVP</t>
  </si>
  <si>
    <t>AVANCE TOTAL</t>
  </si>
  <si>
    <t>PENDIENTE</t>
  </si>
  <si>
    <t>DETALLE</t>
  </si>
  <si>
    <t>FASE</t>
  </si>
  <si>
    <t>ACTIVIDAD</t>
  </si>
  <si>
    <t>TAREA</t>
  </si>
  <si>
    <t>FECHA DE INICIO</t>
  </si>
  <si>
    <t>FECHA DE TERMINO</t>
  </si>
  <si>
    <t>RESPONSABLE</t>
  </si>
  <si>
    <t>ENTREGABLE</t>
  </si>
  <si>
    <t>ENLACE</t>
  </si>
  <si>
    <t xml:space="preserve">NOTA </t>
  </si>
  <si>
    <t>CHECK</t>
  </si>
  <si>
    <t>Fase 0: Requerimiento</t>
  </si>
  <si>
    <t>Entrevista</t>
  </si>
  <si>
    <t>Reunión con el solicitante</t>
  </si>
  <si>
    <t>Reunión</t>
  </si>
  <si>
    <t>Minuta</t>
  </si>
  <si>
    <t>Documento del requerimiento</t>
  </si>
  <si>
    <t>Llenado de la solicitud</t>
  </si>
  <si>
    <t>Solicitud de desarrollo</t>
  </si>
  <si>
    <t xml:space="preserve">Fase 1: Arranque y alineación </t>
  </si>
  <si>
    <t>Alinear alcance MVP</t>
  </si>
  <si>
    <t>Definición del índice conceptual</t>
  </si>
  <si>
    <t>Indice Conceptual - Documento y Xmind</t>
  </si>
  <si>
    <t>Índice Conceptual</t>
  </si>
  <si>
    <t>Definición del índice tématico</t>
  </si>
  <si>
    <t>Indice Tématico -  Xmind</t>
  </si>
  <si>
    <t xml:space="preserve">Índice Tématico </t>
  </si>
  <si>
    <t>Definición de los datos</t>
  </si>
  <si>
    <t>Listado de tablas y campos</t>
  </si>
  <si>
    <t>Definción de datos</t>
  </si>
  <si>
    <t>Definir granularidad</t>
  </si>
  <si>
    <t>Definición de granularidad</t>
  </si>
  <si>
    <t>Crear Acta de Alcance</t>
  </si>
  <si>
    <t>Acta de alcance</t>
  </si>
  <si>
    <t>Fase 2: Accesos, gobierno y seguridad</t>
  </si>
  <si>
    <t>Permisos y accesos</t>
  </si>
  <si>
    <t>Definicion y Creacion de Esquema de trabajo</t>
  </si>
  <si>
    <t>Protocolo de autoconsumo</t>
  </si>
  <si>
    <t>Solicitar permisos (Creacion, Borrado, Modificacion)</t>
  </si>
  <si>
    <t>Tickets aprobados</t>
  </si>
  <si>
    <t>Captura de pantalla</t>
  </si>
  <si>
    <t>Fase 3: Modelo lógico y diccionario</t>
  </si>
  <si>
    <t>Modelo lógico &amp; diccionario</t>
  </si>
  <si>
    <t>Definicion para la creacion de vistas</t>
  </si>
  <si>
    <t>Vistas</t>
  </si>
  <si>
    <t>Creacion del Modelo Logico</t>
  </si>
  <si>
    <t>Diagrama ER</t>
  </si>
  <si>
    <t>Diccionario de Datos</t>
  </si>
  <si>
    <t>Diccionario de datos</t>
  </si>
  <si>
    <t>Fase 4: Ingeniería de datos</t>
  </si>
  <si>
    <t>Vistas base y agregadas</t>
  </si>
  <si>
    <t>Creacion de Vistas</t>
  </si>
  <si>
    <t>Listados de vistas</t>
  </si>
  <si>
    <t>Fase 5: Calidad de datos y validación</t>
  </si>
  <si>
    <t>Pruebas DQ</t>
  </si>
  <si>
    <t>Validación de los datos de las vistas</t>
  </si>
  <si>
    <t>Check de cifras control</t>
  </si>
  <si>
    <t>Fase 6: Diseño y mockup</t>
  </si>
  <si>
    <t>UI/UX del reporte</t>
  </si>
  <si>
    <t>Prototipo del reporte</t>
  </si>
  <si>
    <t>Mockup</t>
  </si>
  <si>
    <t>Fase 7: Modelo en Power BI Desktop RS</t>
  </si>
  <si>
    <t>Modelo PBIX (DAX)</t>
  </si>
  <si>
    <t>Conectar vistas/tablas</t>
  </si>
  <si>
    <t>Reporte PowerBI</t>
  </si>
  <si>
    <t>Crear relaciones y medidas DAX</t>
  </si>
  <si>
    <t>Modelo Lógico / Sense-DAX</t>
  </si>
  <si>
    <t>Fase 8: Construcción del reporte</t>
  </si>
  <si>
    <t>Creacion de graficos, tablas, hojas y visuales utiles</t>
  </si>
  <si>
    <t>Aplicar procolo de diseño</t>
  </si>
  <si>
    <t>Dependiendo herramienta</t>
  </si>
  <si>
    <t>Fase 9: Seguridad y privacidad</t>
  </si>
  <si>
    <t>Seguridad (PII/RLS)</t>
  </si>
  <si>
    <t>Definición de roles de acceso</t>
  </si>
  <si>
    <t>Acta roles de acceso</t>
  </si>
  <si>
    <t xml:space="preserve">Acta de roles/accesos </t>
  </si>
  <si>
    <t>Otorgar permisos y acceso</t>
  </si>
  <si>
    <t>Fase 10: UAT (pruebas con negocio)</t>
  </si>
  <si>
    <t>UAT</t>
  </si>
  <si>
    <t>Entrega de MVP para validación</t>
  </si>
  <si>
    <t>Recoleccion de Observaciones del usuario</t>
  </si>
  <si>
    <t>Observaciones</t>
  </si>
  <si>
    <t>Pendiente</t>
  </si>
  <si>
    <t>Evidencia UAT firmada</t>
  </si>
  <si>
    <t>Evidencia firmada</t>
  </si>
  <si>
    <t>PDF Pendiente</t>
  </si>
  <si>
    <t>Fase 11: Hallazgos (Incidencias)</t>
  </si>
  <si>
    <t>Regresar a la fase 6 (Medidas DAX)</t>
  </si>
  <si>
    <t>Fase 12: Despliegue en PBIRS y operación</t>
  </si>
  <si>
    <t>Despliegue y refresh</t>
  </si>
  <si>
    <t>Aplicar el protocolo de liberacion de PBIRS</t>
  </si>
  <si>
    <t>Protocolo liberación</t>
  </si>
  <si>
    <t>Protocolo</t>
  </si>
  <si>
    <t>Fase 13: Documentación y cierre del MVP</t>
  </si>
  <si>
    <t>Documentación &amp; backlog</t>
  </si>
  <si>
    <t>Documentación Técnica</t>
  </si>
  <si>
    <t>Sheets documentación</t>
  </si>
  <si>
    <t>Documentación funcional</t>
  </si>
  <si>
    <t>Creación de Manuales</t>
  </si>
  <si>
    <t>Manual en documento y PDF</t>
  </si>
  <si>
    <t>CLIENTE ALTO VALOR</t>
  </si>
  <si>
    <t>proyecto</t>
  </si>
  <si>
    <t>objetivo de cada fase</t>
  </si>
  <si>
    <t>Definición del índice técnico</t>
  </si>
  <si>
    <t>Indice Técnico -  Xmind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</si>
</sst>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12">
    <font>
      <sz val="10.0"/>
      <color rgb="FF000000"/>
      <name val="Arial"/>
      <scheme val="minor"/>
    </font>
    <font>
      <sz val="11.0"/>
      <color theme="1"/>
      <name val="Roboto"/>
    </font>
    <font>
      <b/>
      <sz val="18.0"/>
      <color theme="1"/>
      <name val="Roboto"/>
    </font>
    <font>
      <b/>
      <sz val="8.0"/>
      <color theme="1"/>
      <name val="Roboto"/>
    </font>
    <font>
      <b/>
      <sz val="11.0"/>
      <color theme="1"/>
      <name val="Roboto"/>
    </font>
    <font>
      <b/>
      <sz val="13.0"/>
      <color theme="1"/>
      <name val="Roboto"/>
    </font>
    <font/>
    <font>
      <color theme="1"/>
      <name val="Arial"/>
      <scheme val="minor"/>
    </font>
    <font>
      <u/>
      <sz val="11.0"/>
      <color rgb="FF0000FF"/>
      <name val="Roboto"/>
    </font>
    <font>
      <u/>
      <color rgb="FF0000FF"/>
    </font>
    <font>
      <i/>
      <color theme="1"/>
      <name val="Arial"/>
      <scheme val="minor"/>
    </font>
    <font>
      <i/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horizontal="center" readingOrder="0" shrinkToFit="0" wrapText="1"/>
    </xf>
    <xf borderId="1" fillId="0" fontId="1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1" fillId="3" fontId="1" numFmtId="9" xfId="0" applyAlignment="1" applyBorder="1" applyFill="1" applyFont="1" applyNumberFormat="1">
      <alignment shrinkToFit="0" wrapText="1"/>
    </xf>
    <xf borderId="1" fillId="0" fontId="3" numFmtId="0" xfId="0" applyAlignment="1" applyBorder="1" applyFont="1">
      <alignment horizontal="right" readingOrder="0" shrinkToFit="0" wrapText="1"/>
    </xf>
    <xf borderId="1" fillId="0" fontId="4" numFmtId="10" xfId="0" applyAlignment="1" applyBorder="1" applyFont="1" applyNumberFormat="1">
      <alignment shrinkToFit="0" wrapText="1"/>
    </xf>
    <xf borderId="1" fillId="0" fontId="4" numFmtId="10" xfId="0" applyAlignment="1" applyBorder="1" applyFont="1" applyNumberFormat="1">
      <alignment readingOrder="0" shrinkToFit="0" wrapText="1"/>
    </xf>
    <xf borderId="2" fillId="3" fontId="5" numFmtId="0" xfId="0" applyAlignment="1" applyBorder="1" applyFont="1">
      <alignment horizontal="center" readingOrder="0" shrinkToFit="0" wrapText="1"/>
    </xf>
    <xf borderId="3" fillId="0" fontId="6" numFmtId="0" xfId="0" applyBorder="1" applyFont="1"/>
    <xf borderId="4" fillId="0" fontId="6" numFmtId="0" xfId="0" applyBorder="1" applyFont="1"/>
    <xf borderId="1" fillId="0" fontId="4" numFmtId="0" xfId="0" applyAlignment="1" applyBorder="1" applyFont="1">
      <alignment readingOrder="0" shrinkToFit="0" wrapText="1"/>
    </xf>
    <xf borderId="1" fillId="0" fontId="1" numFmtId="164" xfId="0" applyAlignment="1" applyBorder="1" applyFont="1" applyNumberForma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readingOrder="0" shrinkToFit="0" wrapText="1"/>
    </xf>
    <xf borderId="1" fillId="0" fontId="11" numFmtId="0" xfId="0" applyAlignment="1" applyBorder="1" applyFont="1">
      <alignment readingOrder="0" shrinkToFit="0" wrapText="1"/>
    </xf>
    <xf borderId="1" fillId="0" fontId="1" numFmtId="164" xfId="0" applyAlignment="1" applyBorder="1" applyFont="1" applyNumberFormat="1">
      <alignment shrinkToFit="0" wrapText="1"/>
    </xf>
    <xf borderId="1" fillId="0" fontId="7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AVANCE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explosion val="0"/>
            <c:spPr>
              <a:solidFill>
                <a:srgbClr val="09CD3D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TableroTransaccionalidad!$B$19:$B$20</c:f>
            </c:strRef>
          </c:cat>
          <c:val>
            <c:numRef>
              <c:f>TableroTransaccionalidad!$C$19:$C$20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AVANCE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explosion val="0"/>
            <c:spPr>
              <a:solidFill>
                <a:srgbClr val="09CD3D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TableroClienteAltoValor!$B$19:$B$20</c:f>
            </c:strRef>
          </c:cat>
          <c:val>
            <c:numRef>
              <c:f>TableroClienteAltoValor!$C$19:$C$20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600075</xdr:colOff>
      <xdr:row>4</xdr:row>
      <xdr:rowOff>38100</xdr:rowOff>
    </xdr:from>
    <xdr:ext cx="4276725" cy="28003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600075</xdr:colOff>
      <xdr:row>4</xdr:row>
      <xdr:rowOff>38100</xdr:rowOff>
    </xdr:from>
    <xdr:ext cx="4276725" cy="28003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7-AQuRNESZjDk8YACv9nfcXfOOka-ahJ0sGO2FCovII/edit?gid=0" TargetMode="External"/><Relationship Id="rId10" Type="http://schemas.openxmlformats.org/officeDocument/2006/relationships/hyperlink" Target="https://docs.google.com/spreadsheets/d/17-AQuRNESZjDk8YACv9nfcXfOOka-ahJ0sGO2FCovII/edit?gid=0" TargetMode="External"/><Relationship Id="rId13" Type="http://schemas.openxmlformats.org/officeDocument/2006/relationships/hyperlink" Target="https://docs.google.com/spreadsheets/d/1cXbiGRWEq8HCXOZHG6KFPXhhVpwcs3663aJXTXOINpA/edit?gid=0" TargetMode="External"/><Relationship Id="rId12" Type="http://schemas.openxmlformats.org/officeDocument/2006/relationships/hyperlink" Target="https://docs.google.com/spreadsheets/d/1cXbiGRWEq8HCXOZHG6KFPXhhVpwcs3663aJXTXOINpA/edit?gid=0" TargetMode="External"/><Relationship Id="rId1" Type="http://schemas.openxmlformats.org/officeDocument/2006/relationships/hyperlink" Target="https://docs.google.com/document/d/1TT4HNI1QKKxmjTQI6MEGb6RqHYma3wFJyzNCAYBZeNo/edit?tab=t.0" TargetMode="External"/><Relationship Id="rId2" Type="http://schemas.openxmlformats.org/officeDocument/2006/relationships/hyperlink" Target="https://docs.google.com/spreadsheets/d/1oPt2UWuJzkQPDZNworWeNx-wPEExKJ-o/edit?gid=193882843" TargetMode="External"/><Relationship Id="rId3" Type="http://schemas.openxmlformats.org/officeDocument/2006/relationships/hyperlink" Target="https://drive.google.com/file/d/1QJqy5tm3Do2wxlzIRoUbCgrWzswbN0D5/view?usp=drive_link" TargetMode="External"/><Relationship Id="rId4" Type="http://schemas.openxmlformats.org/officeDocument/2006/relationships/hyperlink" Target="https://drive.google.com/file/d/1Wo0Bs6dp3wNMSfGLrT3wyDqUnjmuOHcg/view?usp=drive_link" TargetMode="External"/><Relationship Id="rId9" Type="http://schemas.openxmlformats.org/officeDocument/2006/relationships/hyperlink" Target="https://docs.google.com/spreadsheets/d/17-AQuRNESZjDk8YACv9nfcXfOOka-ahJ0sGO2FCovII/edit?gid=0" TargetMode="External"/><Relationship Id="rId15" Type="http://schemas.openxmlformats.org/officeDocument/2006/relationships/hyperlink" Target="https://docs.google.com/spreadsheets/d/1hqdEo75Ii-usFg-Hv1bwY3IP3k7AFFAvKg8UaGbw-qU/edit?gid=770236242" TargetMode="External"/><Relationship Id="rId14" Type="http://schemas.openxmlformats.org/officeDocument/2006/relationships/hyperlink" Target="https://docs.google.com/spreadsheets/d/1hqdEo75Ii-usFg-Hv1bwY3IP3k7AFFAvKg8UaGbw-qU/edit?gid=770236242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docs.google.com/document/d/18wqGtEL09SV8hG1vQx7bzT84K5ivNucq/edit?usp=drive_link&amp;ouid=116920524297356201404&amp;rtpof=true&amp;sd=true" TargetMode="External"/><Relationship Id="rId5" Type="http://schemas.openxmlformats.org/officeDocument/2006/relationships/hyperlink" Target="https://docs.google.com/spreadsheets/d/1TRczt-6MAQQuOMzrVP7HMxpc2Bz0uMQ-hkc-k4ab-2M/edit?gid=1907158281" TargetMode="External"/><Relationship Id="rId6" Type="http://schemas.openxmlformats.org/officeDocument/2006/relationships/hyperlink" Target="https://docs.google.com/spreadsheets/d/1TRczt-6MAQQuOMzrVP7HMxpc2Bz0uMQ-hkc-k4ab-2M/edit?gid=1907158281" TargetMode="External"/><Relationship Id="rId7" Type="http://schemas.openxmlformats.org/officeDocument/2006/relationships/hyperlink" Target="https://docs.google.com/document/d/1Ib-4O3pCndCR7NcZzPSLyhhWTfsX3RTE/edit?usp=drive_link&amp;ouid=116920524297356201404&amp;rtpof=true&amp;sd=true" TargetMode="External"/><Relationship Id="rId8" Type="http://schemas.openxmlformats.org/officeDocument/2006/relationships/hyperlink" Target="https://drive.google.com/file/d/1hRGh96BOQdrjm3NGuKGdtfaDSotTq3eC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5"/>
    <col customWidth="1" min="2" max="2" width="40.0"/>
    <col customWidth="1" min="3" max="3" width="26.88"/>
    <col customWidth="1" min="4" max="4" width="15.13"/>
    <col customWidth="1" min="5" max="5" width="17.88"/>
    <col customWidth="1" min="6" max="6" width="14.75"/>
    <col customWidth="1" min="7" max="7" width="17.25"/>
    <col customWidth="1" min="8" max="8" width="30.13"/>
    <col customWidth="1" min="9" max="9" width="10.5"/>
    <col customWidth="1" min="10" max="10" width="9.13"/>
    <col customWidth="1" min="11" max="11" width="9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"/>
      <c r="B4" s="4"/>
      <c r="C4" s="5" t="s">
        <v>1</v>
      </c>
      <c r="D4" s="1"/>
      <c r="E4" s="1"/>
      <c r="F4" s="1"/>
      <c r="G4" s="1"/>
      <c r="H4" s="1"/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"/>
      <c r="B5" s="6" t="s">
        <v>2</v>
      </c>
      <c r="C5" s="7">
        <f>COUNTIF(J25:J26,"Hecha") / COUNTA(J25:J26)</f>
        <v>0</v>
      </c>
      <c r="D5" s="1"/>
      <c r="E5" s="1"/>
      <c r="F5" s="1"/>
      <c r="G5" s="1"/>
      <c r="H5" s="1"/>
      <c r="I5" s="1"/>
      <c r="J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"/>
      <c r="B6" s="6" t="s">
        <v>3</v>
      </c>
      <c r="C6" s="7">
        <f>COUNTIF(J27:J31,"Hecha") / COUNTA(J27:J31)</f>
        <v>0</v>
      </c>
      <c r="D6" s="1"/>
      <c r="E6" s="1"/>
      <c r="F6" s="1"/>
      <c r="G6" s="1"/>
      <c r="H6" s="1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/>
      <c r="B7" s="6" t="s">
        <v>4</v>
      </c>
      <c r="C7" s="7">
        <f>COUNTIF(J32:J33,"Hecha") / COUNTA(J32:J33)</f>
        <v>0</v>
      </c>
      <c r="D7" s="1"/>
      <c r="E7" s="1"/>
      <c r="F7" s="1"/>
      <c r="G7" s="1"/>
      <c r="H7" s="1"/>
      <c r="I7" s="1"/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/>
      <c r="B8" s="6" t="s">
        <v>5</v>
      </c>
      <c r="C8" s="7">
        <f>COUNTIF(J34:J36,"Hecha") / COUNTA(J34:J36)</f>
        <v>0</v>
      </c>
      <c r="D8" s="1"/>
      <c r="E8" s="1"/>
      <c r="F8" s="1"/>
      <c r="G8" s="1"/>
      <c r="H8" s="1"/>
      <c r="I8" s="1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"/>
      <c r="B9" s="6" t="s">
        <v>6</v>
      </c>
      <c r="C9" s="7">
        <f t="shared" ref="C9:C11" si="1">COUNTIF(J37,"Hecha") / COUNTA(J37)</f>
        <v>0</v>
      </c>
      <c r="D9" s="1"/>
      <c r="E9" s="1"/>
      <c r="F9" s="1"/>
      <c r="G9" s="1"/>
      <c r="H9" s="1"/>
      <c r="I9" s="1"/>
      <c r="J9" s="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"/>
      <c r="B10" s="6" t="s">
        <v>7</v>
      </c>
      <c r="C10" s="7">
        <f t="shared" si="1"/>
        <v>0</v>
      </c>
      <c r="D10" s="1"/>
      <c r="E10" s="1"/>
      <c r="F10" s="1"/>
      <c r="G10" s="1"/>
      <c r="H10" s="1"/>
      <c r="I10" s="1"/>
      <c r="J10" s="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"/>
      <c r="B11" s="6" t="s">
        <v>8</v>
      </c>
      <c r="C11" s="7">
        <f t="shared" si="1"/>
        <v>0</v>
      </c>
      <c r="D11" s="1"/>
      <c r="E11" s="1"/>
      <c r="F11" s="1"/>
      <c r="G11" s="1"/>
      <c r="H11" s="1"/>
      <c r="I11" s="1"/>
      <c r="J11" s="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"/>
      <c r="B12" s="6" t="s">
        <v>9</v>
      </c>
      <c r="C12" s="7">
        <f>COUNTIF(J40:J41,"Hecha") / COUNTA(J40:J41)</f>
        <v>0</v>
      </c>
      <c r="D12" s="1"/>
      <c r="E12" s="1"/>
      <c r="F12" s="1"/>
      <c r="G12" s="1"/>
      <c r="H12" s="1"/>
      <c r="I12" s="1"/>
      <c r="J12" s="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"/>
      <c r="B13" s="6" t="s">
        <v>10</v>
      </c>
      <c r="C13" s="7">
        <f>COUNTIF(J42:J43,"Hecha") / COUNTA(J42:J43)</f>
        <v>0</v>
      </c>
      <c r="D13" s="1"/>
      <c r="E13" s="1"/>
      <c r="F13" s="1"/>
      <c r="G13" s="1"/>
      <c r="H13" s="1"/>
      <c r="I13" s="1"/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"/>
      <c r="B14" s="6" t="s">
        <v>11</v>
      </c>
      <c r="C14" s="7">
        <f>COUNTIF(J44:J45,"Hecha") / COUNTA(J44:J45)</f>
        <v>0</v>
      </c>
      <c r="D14" s="1"/>
      <c r="E14" s="1"/>
      <c r="F14" s="1"/>
      <c r="G14" s="1"/>
      <c r="H14" s="1"/>
      <c r="I14" s="1"/>
      <c r="J14" s="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"/>
      <c r="B15" s="6" t="s">
        <v>12</v>
      </c>
      <c r="C15" s="7">
        <f>COUNTIF(J46:J48,"Hecha") / COUNTA(J46:J48)</f>
        <v>0</v>
      </c>
      <c r="D15" s="1"/>
      <c r="E15" s="1"/>
      <c r="F15" s="1"/>
      <c r="G15" s="1"/>
      <c r="H15" s="1"/>
      <c r="I15" s="1"/>
      <c r="J15" s="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"/>
      <c r="B16" s="6" t="s">
        <v>13</v>
      </c>
      <c r="C16" s="7">
        <f t="shared" ref="C16:C17" si="2">COUNTIF(J49,"Hecha") / COUNTA(J49)</f>
        <v>0</v>
      </c>
      <c r="D16" s="1"/>
      <c r="E16" s="1"/>
      <c r="F16" s="1"/>
      <c r="G16" s="1"/>
      <c r="H16" s="1"/>
      <c r="I16" s="1"/>
      <c r="J16" s="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"/>
      <c r="B17" s="6" t="s">
        <v>14</v>
      </c>
      <c r="C17" s="7">
        <f t="shared" si="2"/>
        <v>0</v>
      </c>
      <c r="D17" s="1"/>
      <c r="E17" s="1"/>
      <c r="F17" s="1"/>
      <c r="G17" s="1"/>
      <c r="H17" s="1"/>
      <c r="I17" s="1"/>
      <c r="J17" s="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"/>
      <c r="B18" s="6" t="s">
        <v>15</v>
      </c>
      <c r="C18" s="7">
        <f>COUNTIF(J51:J53,"Hecha") / COUNTA(J51:J53)</f>
        <v>0</v>
      </c>
      <c r="D18" s="1"/>
      <c r="E18" s="1"/>
      <c r="F18" s="1"/>
      <c r="G18" s="1"/>
      <c r="H18" s="1"/>
      <c r="I18" s="1"/>
      <c r="J18" s="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"/>
      <c r="B19" s="8" t="s">
        <v>16</v>
      </c>
      <c r="C19" s="9">
        <f>AVERAGE(C5:C18)</f>
        <v>0</v>
      </c>
      <c r="D19" s="1"/>
      <c r="E19" s="1"/>
      <c r="F19" s="1"/>
      <c r="G19" s="1"/>
      <c r="H19" s="1"/>
      <c r="I19" s="1"/>
      <c r="J19" s="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"/>
      <c r="B20" s="8" t="s">
        <v>17</v>
      </c>
      <c r="C20" s="10">
        <f>1-C19</f>
        <v>1</v>
      </c>
      <c r="D20" s="1"/>
      <c r="E20" s="1"/>
      <c r="F20" s="1"/>
      <c r="G20" s="1"/>
      <c r="H20" s="1"/>
      <c r="I20" s="1"/>
      <c r="J20" s="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11" t="s">
        <v>18</v>
      </c>
      <c r="B23" s="12"/>
      <c r="C23" s="12"/>
      <c r="D23" s="12"/>
      <c r="E23" s="12"/>
      <c r="F23" s="12"/>
      <c r="G23" s="12"/>
      <c r="H23" s="12"/>
      <c r="I23" s="12"/>
      <c r="J23" s="1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4" t="s">
        <v>19</v>
      </c>
      <c r="B24" s="14" t="s">
        <v>20</v>
      </c>
      <c r="C24" s="14" t="s">
        <v>21</v>
      </c>
      <c r="D24" s="14" t="s">
        <v>22</v>
      </c>
      <c r="E24" s="14" t="s">
        <v>23</v>
      </c>
      <c r="F24" s="14" t="s">
        <v>24</v>
      </c>
      <c r="G24" s="14" t="s">
        <v>25</v>
      </c>
      <c r="H24" s="14" t="s">
        <v>26</v>
      </c>
      <c r="I24" s="14" t="s">
        <v>27</v>
      </c>
      <c r="J24" s="14" t="s">
        <v>28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4" t="s">
        <v>29</v>
      </c>
      <c r="B25" s="6" t="s">
        <v>30</v>
      </c>
      <c r="C25" s="6" t="s">
        <v>31</v>
      </c>
      <c r="D25" s="15"/>
      <c r="E25" s="15"/>
      <c r="F25" s="16"/>
      <c r="G25" s="6" t="s">
        <v>32</v>
      </c>
      <c r="H25" s="17" t="s">
        <v>33</v>
      </c>
      <c r="I25" s="4"/>
      <c r="J25" s="4" t="str">
        <f t="shared" ref="J25:J53" si="3">IF(ISNUMBER(E25),"Hecha","Pendiente")</f>
        <v>Pendiente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4" t="s">
        <v>29</v>
      </c>
      <c r="B26" s="6" t="s">
        <v>34</v>
      </c>
      <c r="C26" s="6" t="s">
        <v>35</v>
      </c>
      <c r="D26" s="15"/>
      <c r="E26" s="15"/>
      <c r="F26" s="6"/>
      <c r="G26" s="6" t="s">
        <v>36</v>
      </c>
      <c r="H26" s="17" t="s">
        <v>34</v>
      </c>
      <c r="I26" s="4"/>
      <c r="J26" s="4" t="str">
        <f t="shared" si="3"/>
        <v>Pendiente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4" t="s">
        <v>37</v>
      </c>
      <c r="B27" s="6" t="s">
        <v>38</v>
      </c>
      <c r="C27" s="6" t="s">
        <v>39</v>
      </c>
      <c r="D27" s="15"/>
      <c r="E27" s="15"/>
      <c r="F27" s="6"/>
      <c r="G27" s="6" t="s">
        <v>40</v>
      </c>
      <c r="H27" s="17" t="s">
        <v>41</v>
      </c>
      <c r="I27" s="4"/>
      <c r="J27" s="4" t="str">
        <f t="shared" si="3"/>
        <v>Pendiente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14" t="s">
        <v>37</v>
      </c>
      <c r="B28" s="6" t="s">
        <v>38</v>
      </c>
      <c r="C28" s="6" t="s">
        <v>42</v>
      </c>
      <c r="D28" s="15"/>
      <c r="E28" s="15"/>
      <c r="F28" s="6"/>
      <c r="G28" s="6" t="s">
        <v>43</v>
      </c>
      <c r="H28" s="17" t="s">
        <v>44</v>
      </c>
      <c r="I28" s="4"/>
      <c r="J28" s="4" t="str">
        <f t="shared" si="3"/>
        <v>Pendiente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14" t="s">
        <v>37</v>
      </c>
      <c r="B29" s="6" t="s">
        <v>38</v>
      </c>
      <c r="C29" s="6" t="s">
        <v>45</v>
      </c>
      <c r="D29" s="15"/>
      <c r="E29" s="15"/>
      <c r="F29" s="6"/>
      <c r="G29" s="6" t="s">
        <v>46</v>
      </c>
      <c r="H29" s="17" t="s">
        <v>47</v>
      </c>
      <c r="I29" s="4"/>
      <c r="J29" s="4" t="str">
        <f t="shared" si="3"/>
        <v>Pendiente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4" t="s">
        <v>37</v>
      </c>
      <c r="B30" s="6" t="s">
        <v>38</v>
      </c>
      <c r="C30" s="6" t="s">
        <v>48</v>
      </c>
      <c r="D30" s="15"/>
      <c r="E30" s="15"/>
      <c r="F30" s="6"/>
      <c r="G30" s="6" t="s">
        <v>46</v>
      </c>
      <c r="H30" s="17" t="s">
        <v>49</v>
      </c>
      <c r="I30" s="4"/>
      <c r="J30" s="4" t="str">
        <f t="shared" si="3"/>
        <v>Pendiente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4" t="s">
        <v>37</v>
      </c>
      <c r="B31" s="6" t="s">
        <v>38</v>
      </c>
      <c r="C31" s="6" t="s">
        <v>50</v>
      </c>
      <c r="D31" s="15"/>
      <c r="E31" s="15"/>
      <c r="F31" s="6"/>
      <c r="G31" s="6" t="s">
        <v>51</v>
      </c>
      <c r="H31" s="17" t="s">
        <v>51</v>
      </c>
      <c r="I31" s="4"/>
      <c r="J31" s="4" t="str">
        <f t="shared" si="3"/>
        <v>Pendiente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14" t="s">
        <v>52</v>
      </c>
      <c r="B32" s="6" t="s">
        <v>53</v>
      </c>
      <c r="C32" s="6" t="s">
        <v>54</v>
      </c>
      <c r="D32" s="15"/>
      <c r="E32" s="15"/>
      <c r="F32" s="6"/>
      <c r="G32" s="6" t="s">
        <v>55</v>
      </c>
      <c r="H32" s="18" t="s">
        <v>55</v>
      </c>
      <c r="I32" s="4"/>
      <c r="J32" s="4" t="str">
        <f t="shared" si="3"/>
        <v>Pendiente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14" t="s">
        <v>52</v>
      </c>
      <c r="B33" s="6" t="s">
        <v>53</v>
      </c>
      <c r="C33" s="6" t="s">
        <v>56</v>
      </c>
      <c r="D33" s="15"/>
      <c r="E33" s="15"/>
      <c r="F33" s="6"/>
      <c r="G33" s="6" t="s">
        <v>57</v>
      </c>
      <c r="H33" s="16" t="s">
        <v>58</v>
      </c>
      <c r="I33" s="4"/>
      <c r="J33" s="4" t="str">
        <f t="shared" si="3"/>
        <v>Pendiente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14" t="s">
        <v>59</v>
      </c>
      <c r="B34" s="6" t="s">
        <v>60</v>
      </c>
      <c r="C34" s="6" t="s">
        <v>61</v>
      </c>
      <c r="D34" s="15"/>
      <c r="E34" s="15"/>
      <c r="F34" s="6"/>
      <c r="G34" s="16" t="s">
        <v>62</v>
      </c>
      <c r="H34" s="18" t="s">
        <v>62</v>
      </c>
      <c r="I34" s="4"/>
      <c r="J34" s="4" t="str">
        <f t="shared" si="3"/>
        <v>Pendiente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14" t="s">
        <v>59</v>
      </c>
      <c r="B35" s="6" t="s">
        <v>60</v>
      </c>
      <c r="C35" s="6" t="s">
        <v>63</v>
      </c>
      <c r="D35" s="15"/>
      <c r="E35" s="15"/>
      <c r="F35" s="6"/>
      <c r="G35" s="19" t="s">
        <v>64</v>
      </c>
      <c r="H35" s="20" t="s">
        <v>64</v>
      </c>
      <c r="I35" s="4"/>
      <c r="J35" s="4" t="str">
        <f t="shared" si="3"/>
        <v>Pendiente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14" t="s">
        <v>59</v>
      </c>
      <c r="B36" s="6" t="s">
        <v>60</v>
      </c>
      <c r="C36" s="6" t="s">
        <v>65</v>
      </c>
      <c r="D36" s="15"/>
      <c r="E36" s="15"/>
      <c r="F36" s="6"/>
      <c r="G36" s="6" t="s">
        <v>66</v>
      </c>
      <c r="H36" s="17" t="s">
        <v>66</v>
      </c>
      <c r="I36" s="4"/>
      <c r="J36" s="4" t="str">
        <f t="shared" si="3"/>
        <v>Pendiente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14" t="s">
        <v>67</v>
      </c>
      <c r="B37" s="6" t="s">
        <v>68</v>
      </c>
      <c r="C37" s="6" t="s">
        <v>69</v>
      </c>
      <c r="D37" s="15"/>
      <c r="E37" s="15"/>
      <c r="F37" s="6"/>
      <c r="G37" s="6" t="s">
        <v>70</v>
      </c>
      <c r="H37" s="6"/>
      <c r="I37" s="4"/>
      <c r="J37" s="4" t="str">
        <f t="shared" si="3"/>
        <v>Pendiente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4" t="s">
        <v>71</v>
      </c>
      <c r="B38" s="6" t="s">
        <v>72</v>
      </c>
      <c r="C38" s="6" t="s">
        <v>73</v>
      </c>
      <c r="D38" s="15"/>
      <c r="E38" s="15"/>
      <c r="F38" s="6"/>
      <c r="G38" s="6" t="s">
        <v>74</v>
      </c>
      <c r="H38" s="6"/>
      <c r="I38" s="4"/>
      <c r="J38" s="4" t="str">
        <f t="shared" si="3"/>
        <v>Pendiente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14" t="s">
        <v>75</v>
      </c>
      <c r="B39" s="6" t="s">
        <v>76</v>
      </c>
      <c r="C39" s="6" t="s">
        <v>77</v>
      </c>
      <c r="D39" s="15"/>
      <c r="E39" s="15"/>
      <c r="F39" s="6"/>
      <c r="G39" s="6" t="s">
        <v>78</v>
      </c>
      <c r="H39" s="4"/>
      <c r="I39" s="4"/>
      <c r="J39" s="4" t="str">
        <f t="shared" si="3"/>
        <v>Pendiente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14" t="s">
        <v>79</v>
      </c>
      <c r="B40" s="6" t="s">
        <v>80</v>
      </c>
      <c r="C40" s="6" t="s">
        <v>81</v>
      </c>
      <c r="D40" s="15"/>
      <c r="E40" s="15"/>
      <c r="F40" s="6"/>
      <c r="G40" s="6" t="s">
        <v>82</v>
      </c>
      <c r="H40" s="4"/>
      <c r="I40" s="4"/>
      <c r="J40" s="4" t="str">
        <f t="shared" si="3"/>
        <v>Pendiente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4" t="s">
        <v>79</v>
      </c>
      <c r="B41" s="6" t="s">
        <v>80</v>
      </c>
      <c r="C41" s="6" t="s">
        <v>83</v>
      </c>
      <c r="D41" s="15"/>
      <c r="E41" s="15"/>
      <c r="F41" s="6"/>
      <c r="G41" s="6" t="s">
        <v>83</v>
      </c>
      <c r="H41" s="17" t="s">
        <v>84</v>
      </c>
      <c r="I41" s="4"/>
      <c r="J41" s="4" t="str">
        <f t="shared" si="3"/>
        <v>Pendiente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14" t="s">
        <v>85</v>
      </c>
      <c r="B42" s="6" t="s">
        <v>76</v>
      </c>
      <c r="C42" s="6" t="s">
        <v>86</v>
      </c>
      <c r="D42" s="15"/>
      <c r="E42" s="15"/>
      <c r="F42" s="6"/>
      <c r="G42" s="6" t="s">
        <v>86</v>
      </c>
      <c r="H42" s="17" t="s">
        <v>84</v>
      </c>
      <c r="I42" s="4"/>
      <c r="J42" s="4" t="str">
        <f t="shared" si="3"/>
        <v>Pendiente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14" t="s">
        <v>85</v>
      </c>
      <c r="B43" s="6" t="s">
        <v>76</v>
      </c>
      <c r="C43" s="6" t="s">
        <v>87</v>
      </c>
      <c r="D43" s="15"/>
      <c r="E43" s="15"/>
      <c r="F43" s="6"/>
      <c r="G43" s="6" t="s">
        <v>82</v>
      </c>
      <c r="H43" s="6" t="s">
        <v>88</v>
      </c>
      <c r="I43" s="4"/>
      <c r="J43" s="4" t="str">
        <f t="shared" si="3"/>
        <v>Pendiente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14" t="s">
        <v>89</v>
      </c>
      <c r="B44" s="6" t="s">
        <v>90</v>
      </c>
      <c r="C44" s="6" t="s">
        <v>91</v>
      </c>
      <c r="D44" s="15"/>
      <c r="E44" s="21"/>
      <c r="F44" s="6"/>
      <c r="G44" s="6" t="s">
        <v>92</v>
      </c>
      <c r="H44" s="17" t="s">
        <v>93</v>
      </c>
      <c r="I44" s="4"/>
      <c r="J44" s="4" t="str">
        <f t="shared" si="3"/>
        <v>Pendiente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14" t="s">
        <v>89</v>
      </c>
      <c r="B45" s="6" t="s">
        <v>90</v>
      </c>
      <c r="C45" s="6" t="s">
        <v>94</v>
      </c>
      <c r="D45" s="15"/>
      <c r="E45" s="21"/>
      <c r="F45" s="6"/>
      <c r="G45" s="6" t="s">
        <v>92</v>
      </c>
      <c r="H45" s="17" t="s">
        <v>93</v>
      </c>
      <c r="I45" s="4"/>
      <c r="J45" s="4" t="str">
        <f t="shared" si="3"/>
        <v>Pendiente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14" t="s">
        <v>95</v>
      </c>
      <c r="B46" s="6" t="s">
        <v>96</v>
      </c>
      <c r="C46" s="6" t="s">
        <v>97</v>
      </c>
      <c r="D46" s="15"/>
      <c r="E46" s="21"/>
      <c r="F46" s="6"/>
      <c r="G46" s="6" t="s">
        <v>82</v>
      </c>
      <c r="H46" s="4"/>
      <c r="I46" s="4"/>
      <c r="J46" s="4" t="str">
        <f t="shared" si="3"/>
        <v>Pendiente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14" t="s">
        <v>95</v>
      </c>
      <c r="B47" s="6" t="s">
        <v>96</v>
      </c>
      <c r="C47" s="6" t="s">
        <v>98</v>
      </c>
      <c r="D47" s="15"/>
      <c r="E47" s="21"/>
      <c r="F47" s="6"/>
      <c r="G47" s="6" t="s">
        <v>99</v>
      </c>
      <c r="H47" s="6" t="s">
        <v>100</v>
      </c>
      <c r="I47" s="4"/>
      <c r="J47" s="4" t="str">
        <f t="shared" si="3"/>
        <v>Pendiente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14" t="s">
        <v>95</v>
      </c>
      <c r="B48" s="6" t="s">
        <v>96</v>
      </c>
      <c r="C48" s="6" t="s">
        <v>101</v>
      </c>
      <c r="D48" s="15"/>
      <c r="E48" s="21"/>
      <c r="F48" s="6"/>
      <c r="G48" s="6" t="s">
        <v>102</v>
      </c>
      <c r="H48" s="6" t="s">
        <v>103</v>
      </c>
      <c r="I48" s="4"/>
      <c r="J48" s="4" t="str">
        <f t="shared" si="3"/>
        <v>Pendiente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14" t="s">
        <v>104</v>
      </c>
      <c r="B49" s="6" t="s">
        <v>105</v>
      </c>
      <c r="C49" s="4"/>
      <c r="D49" s="15"/>
      <c r="E49" s="21"/>
      <c r="F49" s="4"/>
      <c r="G49" s="4"/>
      <c r="H49" s="4"/>
      <c r="I49" s="4"/>
      <c r="J49" s="4" t="str">
        <f t="shared" si="3"/>
        <v>Pendiente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14" t="s">
        <v>106</v>
      </c>
      <c r="B50" s="6" t="s">
        <v>107</v>
      </c>
      <c r="C50" s="6" t="s">
        <v>108</v>
      </c>
      <c r="D50" s="15"/>
      <c r="E50" s="21"/>
      <c r="F50" s="6"/>
      <c r="G50" s="6" t="s">
        <v>109</v>
      </c>
      <c r="H50" s="17" t="s">
        <v>110</v>
      </c>
      <c r="I50" s="4"/>
      <c r="J50" s="4" t="str">
        <f t="shared" si="3"/>
        <v>Pendiente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14" t="s">
        <v>111</v>
      </c>
      <c r="B51" s="6" t="s">
        <v>112</v>
      </c>
      <c r="C51" s="6" t="s">
        <v>113</v>
      </c>
      <c r="D51" s="15"/>
      <c r="E51" s="21"/>
      <c r="F51" s="6"/>
      <c r="G51" s="6" t="s">
        <v>114</v>
      </c>
      <c r="H51" s="4"/>
      <c r="I51" s="4"/>
      <c r="J51" s="4" t="str">
        <f t="shared" si="3"/>
        <v>Pendiente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14" t="s">
        <v>111</v>
      </c>
      <c r="B52" s="6" t="s">
        <v>112</v>
      </c>
      <c r="C52" s="6" t="s">
        <v>115</v>
      </c>
      <c r="D52" s="15"/>
      <c r="E52" s="21"/>
      <c r="F52" s="6"/>
      <c r="G52" s="6" t="s">
        <v>114</v>
      </c>
      <c r="H52" s="6" t="s">
        <v>100</v>
      </c>
      <c r="I52" s="4"/>
      <c r="J52" s="4" t="str">
        <f t="shared" si="3"/>
        <v>Pendiente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14" t="s">
        <v>111</v>
      </c>
      <c r="B53" s="6" t="s">
        <v>112</v>
      </c>
      <c r="C53" s="6" t="s">
        <v>116</v>
      </c>
      <c r="D53" s="15"/>
      <c r="E53" s="21"/>
      <c r="F53" s="6"/>
      <c r="G53" s="6" t="s">
        <v>117</v>
      </c>
      <c r="H53" s="6" t="s">
        <v>100</v>
      </c>
      <c r="I53" s="4"/>
      <c r="J53" s="4" t="str">
        <f t="shared" si="3"/>
        <v>Pendiente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</sheetData>
  <mergeCells count="2">
    <mergeCell ref="A2:J2"/>
    <mergeCell ref="A23:J23"/>
  </mergeCells>
  <hyperlinks>
    <hyperlink r:id="rId1" location="heading=h.lntg56ljm653" ref="H25"/>
    <hyperlink r:id="rId2" location="gid=193882843" ref="H26"/>
    <hyperlink r:id="rId3" ref="H27"/>
    <hyperlink r:id="rId4" ref="H28"/>
    <hyperlink r:id="rId5" location="gid=1907158281" ref="H29"/>
    <hyperlink r:id="rId6" location="gid=1907158281" ref="H30"/>
    <hyperlink r:id="rId7" ref="H31"/>
    <hyperlink r:id="rId8" ref="H32"/>
    <hyperlink r:id="rId9" location="gid=0" ref="H34"/>
    <hyperlink r:id="rId10" location="gid=0" ref="H35"/>
    <hyperlink r:id="rId11" location="gid=0" ref="H36"/>
    <hyperlink r:id="rId12" location="gid=0" ref="H41"/>
    <hyperlink r:id="rId13" location="gid=0" ref="H42"/>
    <hyperlink r:id="rId14" location="gid=770236242" ref="H44"/>
    <hyperlink r:id="rId15" location="gid=770236242" ref="H45"/>
    <hyperlink r:id="rId16" ref="H50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5"/>
    <col customWidth="1" min="2" max="2" width="40.0"/>
    <col customWidth="1" min="3" max="3" width="26.88"/>
    <col customWidth="1" min="4" max="4" width="15.13"/>
    <col customWidth="1" min="5" max="5" width="17.88"/>
    <col customWidth="1" min="6" max="6" width="14.75"/>
    <col customWidth="1" min="7" max="7" width="12.25"/>
    <col customWidth="1" min="8" max="8" width="10.5"/>
    <col customWidth="1" min="9" max="9" width="9.13"/>
    <col customWidth="1" min="10" max="10" width="9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118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2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/>
      <c r="B4" s="4"/>
      <c r="C4" s="5" t="s">
        <v>1</v>
      </c>
      <c r="D4" s="1"/>
      <c r="E4" s="1"/>
      <c r="F4" s="1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/>
      <c r="B5" s="6" t="s">
        <v>2</v>
      </c>
      <c r="C5" s="7">
        <f>COUNTIF(I25:I26,"Hecha") / COUNTA(I25:I26)</f>
        <v>0</v>
      </c>
      <c r="D5" s="1"/>
      <c r="E5" s="1"/>
      <c r="F5" s="1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 t="s">
        <v>119</v>
      </c>
      <c r="B6" s="6" t="s">
        <v>3</v>
      </c>
      <c r="C6" s="7">
        <f>COUNTIF(I27:I31,"Hecha") / COUNTA(I27:I31)</f>
        <v>0</v>
      </c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 t="s">
        <v>120</v>
      </c>
      <c r="B7" s="6" t="s">
        <v>4</v>
      </c>
      <c r="C7" s="7">
        <f>COUNTIF(I32:I33,"Hecha") / COUNTA(I32:I33)</f>
        <v>0</v>
      </c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/>
      <c r="B8" s="6" t="s">
        <v>5</v>
      </c>
      <c r="C8" s="7">
        <f>COUNTIF(I34:I36,"Hecha") / COUNTA(I34:I36)</f>
        <v>0</v>
      </c>
      <c r="D8" s="1"/>
      <c r="E8" s="1"/>
      <c r="F8" s="1"/>
      <c r="G8" s="1"/>
      <c r="H8" s="1"/>
      <c r="I8" s="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/>
      <c r="B9" s="6" t="s">
        <v>6</v>
      </c>
      <c r="C9" s="7">
        <f t="shared" ref="C9:C11" si="1">COUNTIF(I37,"Hecha") / COUNTA(I37)</f>
        <v>0</v>
      </c>
      <c r="D9" s="1"/>
      <c r="E9" s="1"/>
      <c r="F9" s="1"/>
      <c r="G9" s="1"/>
      <c r="H9" s="1"/>
      <c r="I9" s="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/>
      <c r="B10" s="6" t="s">
        <v>7</v>
      </c>
      <c r="C10" s="7">
        <f t="shared" si="1"/>
        <v>0</v>
      </c>
      <c r="D10" s="1"/>
      <c r="E10" s="1"/>
      <c r="F10" s="1"/>
      <c r="G10" s="1"/>
      <c r="H10" s="1"/>
      <c r="I10" s="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/>
      <c r="B11" s="6" t="s">
        <v>8</v>
      </c>
      <c r="C11" s="7">
        <f t="shared" si="1"/>
        <v>0</v>
      </c>
      <c r="D11" s="1"/>
      <c r="E11" s="1"/>
      <c r="F11" s="1"/>
      <c r="G11" s="1"/>
      <c r="H11" s="1"/>
      <c r="I11" s="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/>
      <c r="B12" s="6" t="s">
        <v>9</v>
      </c>
      <c r="C12" s="7">
        <f>COUNTIF(I40:I41,"Hecha") / COUNTA(I40:I41)</f>
        <v>0</v>
      </c>
      <c r="D12" s="1"/>
      <c r="E12" s="1"/>
      <c r="F12" s="1"/>
      <c r="G12" s="1"/>
      <c r="H12" s="1"/>
      <c r="I12" s="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/>
      <c r="B13" s="6" t="s">
        <v>10</v>
      </c>
      <c r="C13" s="7">
        <f>COUNTIF(I42:I43,"Hecha") / COUNTA(I42:I43)</f>
        <v>0</v>
      </c>
      <c r="D13" s="1"/>
      <c r="E13" s="1"/>
      <c r="F13" s="1"/>
      <c r="G13" s="1"/>
      <c r="H13" s="1"/>
      <c r="I13" s="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/>
      <c r="B14" s="6" t="s">
        <v>11</v>
      </c>
      <c r="C14" s="7">
        <f>COUNTIF(I44:I45,"Hecha") / COUNTA(I44:I45)</f>
        <v>0</v>
      </c>
      <c r="D14" s="1"/>
      <c r="E14" s="1"/>
      <c r="F14" s="1"/>
      <c r="G14" s="1"/>
      <c r="H14" s="1"/>
      <c r="I14" s="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"/>
      <c r="B15" s="6" t="s">
        <v>12</v>
      </c>
      <c r="C15" s="7">
        <f>COUNTIF(I46:I48,"Hecha") / COUNTA(I46:I48)</f>
        <v>0</v>
      </c>
      <c r="D15" s="1"/>
      <c r="E15" s="1"/>
      <c r="F15" s="1"/>
      <c r="G15" s="1"/>
      <c r="H15" s="1"/>
      <c r="I15" s="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"/>
      <c r="B16" s="6" t="s">
        <v>13</v>
      </c>
      <c r="C16" s="7">
        <f t="shared" ref="C16:C17" si="2">COUNTIF(I49,"Hecha") / COUNTA(I49)</f>
        <v>0</v>
      </c>
      <c r="D16" s="1"/>
      <c r="E16" s="1"/>
      <c r="F16" s="1"/>
      <c r="G16" s="1"/>
      <c r="H16" s="1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/>
      <c r="B17" s="6" t="s">
        <v>14</v>
      </c>
      <c r="C17" s="7">
        <f t="shared" si="2"/>
        <v>0</v>
      </c>
      <c r="D17" s="1"/>
      <c r="E17" s="1"/>
      <c r="F17" s="1"/>
      <c r="G17" s="1"/>
      <c r="H17" s="1"/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"/>
      <c r="B18" s="6" t="s">
        <v>15</v>
      </c>
      <c r="C18" s="7">
        <f>COUNTIF(I51:I53,"Hecha") / COUNTA(I51:I53)</f>
        <v>0</v>
      </c>
      <c r="D18" s="1"/>
      <c r="E18" s="1"/>
      <c r="F18" s="1"/>
      <c r="G18" s="1"/>
      <c r="H18" s="1"/>
      <c r="I18" s="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"/>
      <c r="B19" s="8" t="s">
        <v>16</v>
      </c>
      <c r="C19" s="9">
        <f>AVERAGE(C5:C18)</f>
        <v>0</v>
      </c>
      <c r="D19" s="1"/>
      <c r="E19" s="1"/>
      <c r="F19" s="1"/>
      <c r="G19" s="1"/>
      <c r="H19" s="1"/>
      <c r="I19" s="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"/>
      <c r="B20" s="8" t="s">
        <v>17</v>
      </c>
      <c r="C20" s="10">
        <f>1-C19</f>
        <v>1</v>
      </c>
      <c r="D20" s="1"/>
      <c r="E20" s="1"/>
      <c r="F20" s="1"/>
      <c r="G20" s="1"/>
      <c r="H20" s="1"/>
      <c r="I20" s="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"/>
      <c r="B21" s="1"/>
      <c r="C21" s="1"/>
      <c r="D21" s="1"/>
      <c r="E21" s="1"/>
      <c r="F21" s="1"/>
      <c r="G21" s="1"/>
      <c r="H21" s="1"/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"/>
      <c r="B22" s="1"/>
      <c r="C22" s="1"/>
      <c r="D22" s="1"/>
      <c r="E22" s="1"/>
      <c r="F22" s="1"/>
      <c r="G22" s="1"/>
      <c r="H22" s="1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 t="s">
        <v>18</v>
      </c>
      <c r="B23" s="12"/>
      <c r="C23" s="12"/>
      <c r="D23" s="12"/>
      <c r="E23" s="12"/>
      <c r="F23" s="12"/>
      <c r="G23" s="12"/>
      <c r="H23" s="12"/>
      <c r="I23" s="1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4" t="s">
        <v>19</v>
      </c>
      <c r="B24" s="14" t="s">
        <v>20</v>
      </c>
      <c r="C24" s="14" t="s">
        <v>21</v>
      </c>
      <c r="D24" s="14" t="s">
        <v>22</v>
      </c>
      <c r="E24" s="14" t="s">
        <v>23</v>
      </c>
      <c r="F24" s="14" t="s">
        <v>24</v>
      </c>
      <c r="G24" s="14" t="s">
        <v>25</v>
      </c>
      <c r="H24" s="14" t="s">
        <v>27</v>
      </c>
      <c r="I24" s="14" t="s">
        <v>28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6" t="s">
        <v>29</v>
      </c>
      <c r="B25" s="6" t="s">
        <v>30</v>
      </c>
      <c r="C25" s="6" t="s">
        <v>31</v>
      </c>
      <c r="D25" s="15"/>
      <c r="E25" s="15"/>
      <c r="F25" s="16"/>
      <c r="G25" s="6" t="s">
        <v>32</v>
      </c>
      <c r="H25" s="4"/>
      <c r="I25" s="4" t="str">
        <f t="shared" ref="I25:I53" si="3">IF(ISNUMBER(E25),"Hecha","Pendiente")</f>
        <v>Pendiente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6" t="s">
        <v>29</v>
      </c>
      <c r="B26" s="6" t="s">
        <v>34</v>
      </c>
      <c r="C26" s="6" t="s">
        <v>35</v>
      </c>
      <c r="D26" s="15"/>
      <c r="E26" s="15"/>
      <c r="F26" s="6"/>
      <c r="G26" s="6" t="s">
        <v>36</v>
      </c>
      <c r="H26" s="4"/>
      <c r="I26" s="4" t="str">
        <f t="shared" si="3"/>
        <v>Pendiente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" t="s">
        <v>37</v>
      </c>
      <c r="B27" s="6" t="s">
        <v>38</v>
      </c>
      <c r="C27" s="6" t="s">
        <v>39</v>
      </c>
      <c r="D27" s="15"/>
      <c r="E27" s="15"/>
      <c r="F27" s="6"/>
      <c r="G27" s="6" t="s">
        <v>40</v>
      </c>
      <c r="H27" s="4"/>
      <c r="I27" s="4" t="str">
        <f t="shared" si="3"/>
        <v>Pendiente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6" t="s">
        <v>37</v>
      </c>
      <c r="B28" s="6" t="s">
        <v>38</v>
      </c>
      <c r="C28" s="6" t="s">
        <v>121</v>
      </c>
      <c r="D28" s="15"/>
      <c r="E28" s="15"/>
      <c r="F28" s="6"/>
      <c r="G28" s="6" t="s">
        <v>122</v>
      </c>
      <c r="H28" s="4"/>
      <c r="I28" s="4" t="str">
        <f t="shared" si="3"/>
        <v>Pendiente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6" t="s">
        <v>37</v>
      </c>
      <c r="B29" s="6" t="s">
        <v>38</v>
      </c>
      <c r="C29" s="6" t="s">
        <v>45</v>
      </c>
      <c r="D29" s="15"/>
      <c r="E29" s="15"/>
      <c r="F29" s="6"/>
      <c r="G29" s="6" t="s">
        <v>66</v>
      </c>
      <c r="H29" s="4"/>
      <c r="I29" s="4" t="str">
        <f t="shared" si="3"/>
        <v>Pendiente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6" t="s">
        <v>37</v>
      </c>
      <c r="B30" s="6" t="s">
        <v>38</v>
      </c>
      <c r="C30" s="6" t="s">
        <v>48</v>
      </c>
      <c r="D30" s="15"/>
      <c r="E30" s="15"/>
      <c r="F30" s="6"/>
      <c r="G30" s="6" t="s">
        <v>66</v>
      </c>
      <c r="H30" s="4"/>
      <c r="I30" s="4" t="str">
        <f t="shared" si="3"/>
        <v>Pendiente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6" t="s">
        <v>37</v>
      </c>
      <c r="B31" s="6" t="s">
        <v>38</v>
      </c>
      <c r="C31" s="6" t="s">
        <v>50</v>
      </c>
      <c r="D31" s="21"/>
      <c r="E31" s="21"/>
      <c r="F31" s="6"/>
      <c r="G31" s="6" t="s">
        <v>51</v>
      </c>
      <c r="H31" s="4"/>
      <c r="I31" s="4" t="str">
        <f t="shared" si="3"/>
        <v>Pendiente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6" t="s">
        <v>52</v>
      </c>
      <c r="B32" s="6" t="s">
        <v>53</v>
      </c>
      <c r="C32" s="6" t="s">
        <v>54</v>
      </c>
      <c r="D32" s="15"/>
      <c r="E32" s="15"/>
      <c r="F32" s="6"/>
      <c r="G32" s="22"/>
      <c r="H32" s="4"/>
      <c r="I32" s="4" t="str">
        <f t="shared" si="3"/>
        <v>Pendiente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6" t="s">
        <v>52</v>
      </c>
      <c r="B33" s="6" t="s">
        <v>53</v>
      </c>
      <c r="C33" s="6" t="s">
        <v>56</v>
      </c>
      <c r="D33" s="15"/>
      <c r="E33" s="15"/>
      <c r="F33" s="6"/>
      <c r="G33" s="4"/>
      <c r="H33" s="4"/>
      <c r="I33" s="4" t="str">
        <f t="shared" si="3"/>
        <v>Pendiente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6" t="s">
        <v>59</v>
      </c>
      <c r="B34" s="6" t="s">
        <v>60</v>
      </c>
      <c r="C34" s="6" t="s">
        <v>61</v>
      </c>
      <c r="D34" s="15"/>
      <c r="E34" s="15"/>
      <c r="F34" s="6"/>
      <c r="G34" s="4"/>
      <c r="H34" s="4"/>
      <c r="I34" s="4" t="str">
        <f t="shared" si="3"/>
        <v>Pendiente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6" t="s">
        <v>59</v>
      </c>
      <c r="B35" s="6" t="s">
        <v>60</v>
      </c>
      <c r="C35" s="6" t="s">
        <v>63</v>
      </c>
      <c r="D35" s="15"/>
      <c r="E35" s="15"/>
      <c r="F35" s="6"/>
      <c r="G35" s="4"/>
      <c r="H35" s="4"/>
      <c r="I35" s="4" t="str">
        <f t="shared" si="3"/>
        <v>Pendiente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6" t="s">
        <v>59</v>
      </c>
      <c r="B36" s="6" t="s">
        <v>60</v>
      </c>
      <c r="C36" s="6" t="s">
        <v>65</v>
      </c>
      <c r="D36" s="15"/>
      <c r="E36" s="15"/>
      <c r="F36" s="6"/>
      <c r="G36" s="4"/>
      <c r="H36" s="4"/>
      <c r="I36" s="4" t="str">
        <f t="shared" si="3"/>
        <v>Pendiente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6" t="s">
        <v>67</v>
      </c>
      <c r="B37" s="6" t="s">
        <v>68</v>
      </c>
      <c r="C37" s="6" t="s">
        <v>69</v>
      </c>
      <c r="D37" s="15"/>
      <c r="E37" s="21"/>
      <c r="F37" s="6"/>
      <c r="G37" s="4"/>
      <c r="H37" s="4"/>
      <c r="I37" s="4" t="str">
        <f t="shared" si="3"/>
        <v>Pendiente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6" t="s">
        <v>71</v>
      </c>
      <c r="B38" s="6" t="s">
        <v>72</v>
      </c>
      <c r="C38" s="6" t="s">
        <v>73</v>
      </c>
      <c r="D38" s="15"/>
      <c r="E38" s="21"/>
      <c r="F38" s="6"/>
      <c r="G38" s="4"/>
      <c r="H38" s="4"/>
      <c r="I38" s="4" t="str">
        <f t="shared" si="3"/>
        <v>Pendiente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6" t="s">
        <v>75</v>
      </c>
      <c r="B39" s="6" t="s">
        <v>76</v>
      </c>
      <c r="C39" s="6" t="s">
        <v>77</v>
      </c>
      <c r="D39" s="15"/>
      <c r="E39" s="21"/>
      <c r="F39" s="6"/>
      <c r="G39" s="4"/>
      <c r="H39" s="4"/>
      <c r="I39" s="4" t="str">
        <f t="shared" si="3"/>
        <v>Pendiente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6" t="s">
        <v>79</v>
      </c>
      <c r="B40" s="6" t="s">
        <v>80</v>
      </c>
      <c r="C40" s="6" t="s">
        <v>81</v>
      </c>
      <c r="D40" s="15"/>
      <c r="E40" s="21"/>
      <c r="F40" s="6"/>
      <c r="G40" s="4"/>
      <c r="H40" s="4"/>
      <c r="I40" s="4" t="str">
        <f t="shared" si="3"/>
        <v>Pendiente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6" t="s">
        <v>79</v>
      </c>
      <c r="B41" s="6" t="s">
        <v>80</v>
      </c>
      <c r="C41" s="6" t="s">
        <v>83</v>
      </c>
      <c r="D41" s="15"/>
      <c r="E41" s="15"/>
      <c r="F41" s="6"/>
      <c r="G41" s="4"/>
      <c r="H41" s="4"/>
      <c r="I41" s="4" t="str">
        <f t="shared" si="3"/>
        <v>Pendiente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6" t="s">
        <v>85</v>
      </c>
      <c r="B42" s="6" t="s">
        <v>76</v>
      </c>
      <c r="C42" s="6" t="s">
        <v>86</v>
      </c>
      <c r="D42" s="15"/>
      <c r="E42" s="21"/>
      <c r="F42" s="6"/>
      <c r="G42" s="4"/>
      <c r="H42" s="4"/>
      <c r="I42" s="4" t="str">
        <f t="shared" si="3"/>
        <v>Pendiente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6" t="s">
        <v>85</v>
      </c>
      <c r="B43" s="6" t="s">
        <v>76</v>
      </c>
      <c r="C43" s="6" t="s">
        <v>87</v>
      </c>
      <c r="D43" s="15"/>
      <c r="E43" s="21"/>
      <c r="F43" s="6"/>
      <c r="G43" s="4"/>
      <c r="H43" s="4"/>
      <c r="I43" s="4" t="str">
        <f t="shared" si="3"/>
        <v>Pendiente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6" t="s">
        <v>89</v>
      </c>
      <c r="B44" s="6" t="s">
        <v>90</v>
      </c>
      <c r="C44" s="6" t="s">
        <v>91</v>
      </c>
      <c r="D44" s="15"/>
      <c r="E44" s="21"/>
      <c r="F44" s="6"/>
      <c r="G44" s="4"/>
      <c r="H44" s="4"/>
      <c r="I44" s="4" t="str">
        <f t="shared" si="3"/>
        <v>Pendiente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6" t="s">
        <v>89</v>
      </c>
      <c r="B45" s="6" t="s">
        <v>90</v>
      </c>
      <c r="C45" s="6" t="s">
        <v>94</v>
      </c>
      <c r="D45" s="15"/>
      <c r="E45" s="21"/>
      <c r="F45" s="6"/>
      <c r="G45" s="4"/>
      <c r="H45" s="4"/>
      <c r="I45" s="4" t="str">
        <f t="shared" si="3"/>
        <v>Pendiente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6" t="s">
        <v>95</v>
      </c>
      <c r="B46" s="6" t="s">
        <v>96</v>
      </c>
      <c r="C46" s="6" t="s">
        <v>97</v>
      </c>
      <c r="D46" s="15"/>
      <c r="E46" s="21"/>
      <c r="F46" s="6"/>
      <c r="G46" s="4"/>
      <c r="H46" s="4"/>
      <c r="I46" s="4" t="str">
        <f t="shared" si="3"/>
        <v>Pendiente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6" t="s">
        <v>95</v>
      </c>
      <c r="B47" s="6" t="s">
        <v>96</v>
      </c>
      <c r="C47" s="6" t="s">
        <v>98</v>
      </c>
      <c r="D47" s="15"/>
      <c r="E47" s="21"/>
      <c r="F47" s="6"/>
      <c r="G47" s="4"/>
      <c r="H47" s="4"/>
      <c r="I47" s="4" t="str">
        <f t="shared" si="3"/>
        <v>Pendiente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6" t="s">
        <v>95</v>
      </c>
      <c r="B48" s="6" t="s">
        <v>96</v>
      </c>
      <c r="C48" s="6" t="s">
        <v>101</v>
      </c>
      <c r="D48" s="15"/>
      <c r="E48" s="21"/>
      <c r="F48" s="6"/>
      <c r="G48" s="4"/>
      <c r="H48" s="4"/>
      <c r="I48" s="4" t="str">
        <f t="shared" si="3"/>
        <v>Pendiente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6" t="s">
        <v>104</v>
      </c>
      <c r="B49" s="6" t="s">
        <v>105</v>
      </c>
      <c r="C49" s="4"/>
      <c r="D49" s="15"/>
      <c r="E49" s="21"/>
      <c r="F49" s="4"/>
      <c r="G49" s="4"/>
      <c r="H49" s="4"/>
      <c r="I49" s="4" t="str">
        <f t="shared" si="3"/>
        <v>Pendiente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6" t="s">
        <v>106</v>
      </c>
      <c r="B50" s="6" t="s">
        <v>107</v>
      </c>
      <c r="C50" s="6" t="s">
        <v>108</v>
      </c>
      <c r="D50" s="15"/>
      <c r="E50" s="21"/>
      <c r="F50" s="6"/>
      <c r="G50" s="4"/>
      <c r="H50" s="4"/>
      <c r="I50" s="4" t="str">
        <f t="shared" si="3"/>
        <v>Pendiente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6" t="s">
        <v>111</v>
      </c>
      <c r="B51" s="6" t="s">
        <v>112</v>
      </c>
      <c r="C51" s="6" t="s">
        <v>113</v>
      </c>
      <c r="D51" s="15"/>
      <c r="E51" s="21"/>
      <c r="F51" s="6"/>
      <c r="G51" s="4"/>
      <c r="H51" s="4"/>
      <c r="I51" s="4" t="str">
        <f t="shared" si="3"/>
        <v>Pendiente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6" t="s">
        <v>111</v>
      </c>
      <c r="B52" s="6" t="s">
        <v>112</v>
      </c>
      <c r="C52" s="6" t="s">
        <v>115</v>
      </c>
      <c r="D52" s="15"/>
      <c r="E52" s="21"/>
      <c r="F52" s="6"/>
      <c r="G52" s="4"/>
      <c r="H52" s="4"/>
      <c r="I52" s="4" t="str">
        <f t="shared" si="3"/>
        <v>Pendiente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6" t="s">
        <v>111</v>
      </c>
      <c r="B53" s="6" t="s">
        <v>112</v>
      </c>
      <c r="C53" s="6" t="s">
        <v>116</v>
      </c>
      <c r="D53" s="15"/>
      <c r="E53" s="21"/>
      <c r="F53" s="6"/>
      <c r="G53" s="4"/>
      <c r="H53" s="4"/>
      <c r="I53" s="4" t="str">
        <f t="shared" si="3"/>
        <v>Pendiente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</sheetData>
  <mergeCells count="2">
    <mergeCell ref="A2:I2"/>
    <mergeCell ref="A23:I23"/>
  </mergeCells>
  <drawing r:id="rId1"/>
</worksheet>
</file>